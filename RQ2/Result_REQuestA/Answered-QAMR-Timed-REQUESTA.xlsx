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pkhamsep/Documents/EMSE-QAMR/RQ2/Result_REQuestA/"/>
    </mc:Choice>
  </mc:AlternateContent>
  <xr:revisionPtr revIDLastSave="0" documentId="13_ncr:1_{49F98B2C-1318-B44B-B329-FBE399137B3B}" xr6:coauthVersionLast="47" xr6:coauthVersionMax="47" xr10:uidLastSave="{00000000-0000-0000-0000-000000000000}"/>
  <bookViews>
    <workbookView xWindow="0" yWindow="880" windowWidth="41120" windowHeight="257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1" l="1"/>
  <c r="L4" i="1"/>
  <c r="L5" i="1"/>
  <c r="L6" i="1"/>
  <c r="L7" i="1"/>
  <c r="L8" i="1"/>
  <c r="L9" i="1"/>
  <c r="L10" i="1"/>
  <c r="L11" i="1"/>
  <c r="L12" i="1"/>
  <c r="L13" i="1"/>
  <c r="L14" i="1"/>
  <c r="L15" i="1"/>
  <c r="L16" i="1"/>
  <c r="L2" i="1"/>
</calcChain>
</file>

<file path=xl/sharedStrings.xml><?xml version="1.0" encoding="utf-8"?>
<sst xmlns="http://schemas.openxmlformats.org/spreadsheetml/2006/main" count="87" uniqueCount="87">
  <si>
    <t>Sampled_Questions</t>
  </si>
  <si>
    <t>Ground_Truth</t>
  </si>
  <si>
    <t>Generated_Answer</t>
  </si>
  <si>
    <t>Found_Contexts</t>
  </si>
  <si>
    <t>Found_Metadata</t>
  </si>
  <si>
    <t>Times</t>
  </si>
  <si>
    <t>Query_Rewriting_Times</t>
  </si>
  <si>
    <t>Release_Mapping_Times</t>
  </si>
  <si>
    <t>Document_Retrieval_Times</t>
  </si>
  <si>
    <t>Context_Reduction_Times</t>
  </si>
  <si>
    <t>Context_Selection_Times</t>
  </si>
  <si>
    <t>What does DND provide on the Contractor disposal management?</t>
  </si>
  <si>
    <t>oversight</t>
  </si>
  <si>
    <t>DND provides oversight on the Contractor disposal management and on its execution of disposal actions.</t>
  </si>
  <si>
    <t>['5.5.7 Technical Data Disposal\n[I] The Contractor will provide disposal and demilitarization plans to DND. DND will provide oversight on the Contractor disposal management and on its execution of disposal actions.', 'PWS-1104\n[M] The Contractor must prepare the End User Certificates and distribute as per DAOD 3003-0 Controlled Goods and DAOD 3013-1 Disposal of Surplus Materiel.\nPWS-1119\nii. complete the Certificate of Demilitarization (DND Form 2586) for all parts and']</t>
  </si>
  <si>
    <t>[{'source': 'SRS_HalifaxCombatSystems.pdf', 'page': 54}, {'source': 'SRS_HalifaxCombatSystems.pdf', 'page': 68}]</t>
  </si>
  <si>
    <t>By Whom will the AMCS number be assigned?</t>
  </si>
  <si>
    <t xml:space="preserve"> The AMSC Number will be assigned by the Director, DUSD(L)CALS, or other delegated DID approval authority </t>
  </si>
  <si>
    <t>The AMSC Number will be assigned by the Director, DUSD(L)CALS, or another delegated DID approval authority.</t>
  </si>
  <si>
    <t>['5.3.4 AMSC Number: The AMSC Number needs to be assigned by the Director, DUSD(L)CALS, or other delegated DID approval authority (see 6.5).\nAMSC Numbers for DIDs shall be obtained by the DID approval authority from the Defense Automated Printing Service to be approved for use for repetitive acquisition (see 5.3.2).']</t>
  </si>
  <si>
    <t>[{'source': 'SRS_DataItemDescriptions.pdf', 'page': 15}]</t>
  </si>
  <si>
    <t>why must the Contractor identify any changes to the skills and competency required by the RCN?</t>
  </si>
  <si>
    <t xml:space="preserve"> to align with the current operator and maintenance processes</t>
  </si>
  <si>
    <t>The Contractor must identify any changes to the skills and competency required by the RCN to ensure alignment with the current operator and maintenance processes.</t>
  </si>
  <si>
    <t>['PWS-1130\n[M] The Contractor must identify any changes to the skills and competency required by the RCN to align with the current operator and maintenance processes.']</t>
  </si>
  <si>
    <t>[{'source': 'SRS_HalifaxCombatSystems.pdf', 'page': 70}]</t>
  </si>
  <si>
    <t>how much confidence level is there in the asteroid fly-by?</t>
  </si>
  <si>
    <t>95%</t>
  </si>
  <si>
    <t>The confidence level during the asteroid fly-by is 95%.</t>
  </si>
  <si>
    <t>['Asteroid fly-by phase\nPINT-022\nThe relative pointing error of the payload line of sight shall not exceed 3E-3 deg half cone angle over any 1 sec interval @ 95% confidence level during the asteroid fly-by at the minimum specified fly-by distance.\nPINT-023\nThe relative roll pointing error about the payload line of sight shall not exceed 2E-2 deg over any 1 sec interval @ 95% confidence level during the asteroid fly-by.']</t>
  </si>
  <si>
    <t>[{'source': 'SRS_RosettaSystem.pdf', 'page': 48}]</t>
  </si>
  <si>
    <t>What must the Contractor  conduct and provide to Canada?</t>
  </si>
  <si>
    <t xml:space="preserve">an annual trend analysis, starting at the date of contract award, of the sum of quantified benefits of all proposed and implemented changes from continuous improvements and value engineering. </t>
  </si>
  <si>
    <t>The Contractor must conduct analyses of stock movements and holdings to assess stock adequacy and provide stock level recommendations to DND for DND holdings.</t>
  </si>
  <si>
    <t>['[I] Canada and the Contractor will jointly develop a Relationship Charter (RC) that will outline common goals, desired behaviours, joint governance, and collaborative processes. The purpose of the Relationship Charter is to ensure that Canada and the Contractor remain in an aligned relationship that delivers sustained value to both parties over the long term.\n[I] The Contractor will also prepare and submit a Relationship Management Plan that will describe how the Contractor proposes to enhance collaboration with Canada and to streamline key processes that involve interaction with Canada.\n[I] The Relationship Management Plan is a transitional document that is intended to facilitate the joint development of the Relationship Charter. The actions, tools, and processes proposed in this Plan will inform the content of the Charter.\n[M] The Contractor must jointly prepare a Relationship Charter with Canada.\n[M] The Contractor must develop and update a Relationship Management Plan.\n[M] The Contractor must prepare the Relationship Management Plan in accordance with DID-PM-008.\n[M] The Contractor must manage and perform activities in accordance with the accepted RMP.', "[M] The Contractor must deliver the Translation Accuracy Check Certificates for all translated technical publications.\n[I] Technical data will be subject to validation by DND and the Contractor.\n[M] The Contractor must perform validation as required in the accepted TDMP.\n[I] The Contractor will provide disposal and demilitarization plans to DND. DND will provide oversight on the Contractor disposal management and on its execution of disposal actions.\n[M] The Contractor’s disposal management must meet the DND disposal regulations and requirements.\n[M] As and when requested, the Contractor must prepare and submit disposal plans and decommissioning and disposal instructions for approval by the Technical Authority, using the EWR procedures described in Chapter 2.\n[M] The Contractor must make a request to Canada, in writing, for the provision of any GFE, GSM, GFF, and GFI.\n[I] Canada will consider the Contractor's Government Property requests on a case by case basis.\n[M] For equipment supplied as GFE, the Contractor must:\na. be responsible for accepting the equipment and advising DND of any discrepancies between the list of GFE and the actual equipment received;\nb. conduct maintenance to the extent specified by a governing DND Loan Agreement and as specified in the appropriate DND-supplied equipment maintenance manual;\nc. bring any additional maintenance support requirements to the attention of DND. Additional maintenance support may be tasked to the Contractor;\nd. be responsible for the maintenance and correct operation of any GFE; and\ne. retain maintenance records for all loaned equipment.\n[I] Government Property will be subject to audit by Canada.\n[M] The Contractor must:\na. assess STTE holdings and distribution requirements as part of the maintenance program, and recommend changes;\nb. manage STTE inventory and store STTE not allocated to a Unit;\nc. maintain, calibrate, repair, modify and certify all STTE in accordance with the applicable specifications;", 'PWS-1055\n[M] The Contractor must conduct analyses of stock movements and holdings to assess stock adequacy and provide stock level recommendations to DND for DND holdings.']</t>
  </si>
  <si>
    <t>[{'source': 'SRS_HalifaxCombatSystems.pdf', 'page': 25}, {'source': 'SRS_HalifaxCombatSystems.pdf', 'page': 54}, {'source': 'SRS_HalifaxCombatSystems.pdf', 'page': 66}]</t>
  </si>
  <si>
    <t xml:space="preserve">What shall the Remote Control Station provide operators with? </t>
  </si>
  <si>
    <t>telemetry and video displays with update rates sufficient to perform teleoperation of the Lunar Exploration Light Rover</t>
  </si>
  <si>
    <t>The Remote Control Station needs to provide operators with telemetry and video displays with update rates sufficient to perform teleoperation of the Lunar Exploration Light Rover.</t>
  </si>
  <si>
    <t>['[EC-LMR-RCS-020] Remote Operator Displays: The Remote Control Station needs to provide operators with telemetry and video displays with update rates sufficient to perform teleoperation of the Lunar Exploration Light Rover.\nRationale: The remote operator will have difficulty controlling the Rover if the update rate of the video and telemetry is insufficient.', '[EC-LMR-RCS-080] Site Operations control: The Lunar Exploration Light Rover shall provide a Remote Control Station at the analogue site with the same control capabilities as the Exploration Development and Operations Center, described here as the Site Operations Center (SOC).\nRationale: The set up and maintenance of the rover, and set up of the scenario, will require close interaction with the local support team.']</t>
  </si>
  <si>
    <t>[{'source': 'SRS_LunarRover.pdf', 'page': 14}, {'source': 'SRS_LunarRover.pdf', 'page': 15}]</t>
  </si>
  <si>
    <t xml:space="preserve"> What is the level Asteroid fly-by phase The relative pointing error of the payload line of sight shall not exceed?</t>
  </si>
  <si>
    <t xml:space="preserve"> 3E-3 deg half cone angle over any 1 sec interval @ 95% confidence level during the asteroid fly-by at the minimum specified fly-by distance</t>
  </si>
  <si>
    <t>The relative pointing error of the payload line of sight during the asteroid fly-by phase shall not exceed 3E-3 degrees half cone angle over any 1-second interval at a 95% confidence level.</t>
  </si>
  <si>
    <t>['Asteroid fly-by phase\nPINT-022\nThe relative pointing error of the payload line of sight shall not exceed 3E-3 deg half cone angle over any 1 sec interval @ 95% confidence level during the asteroid fly-by at the minimum specified fly-by distance.', 'Asteroid fly-by phase\nPINT-022\nThe relative pointing error of the payload line of sight shall not exceed 3E-3 deg half cone angle over any 1 sec interval @ 95% confidence level during the asteroid fly-by at the minimum specified fly-by distance.']</t>
  </si>
  <si>
    <t>[{'source': 'SRS_RosettaSystem.pdf', 'page': 48}, {'source': 'SRS_RosettaSystem.pdf', 'page': 49}]</t>
  </si>
  <si>
    <t>What shall the Propulsion System  have  to prevent condensation of propellants outside the reach of the propellant management device (PMD) within the tanks?</t>
  </si>
  <si>
    <t xml:space="preserve">thermal control capability </t>
  </si>
  <si>
    <t>The Propulsion System shall have thermal control capability to prevent condensation of propellants outside the reach of the propellant management device (PMD) within the tanks.</t>
  </si>
  <si>
    <t>['Propulsion System Thermal Control\nPROP-115\nThe Propulsion System shall have thermal control capability to prevent condensation of propellants outside the reach of the propellant management device (PMD) within the tanks.']</t>
  </si>
  <si>
    <t>[{'source': 'SRS_RosettaSystem.pdf', 'page': 103}]</t>
  </si>
  <si>
    <t xml:space="preserve"> What should the Lunar Exploration have in the High Manoeuvrability Options? </t>
  </si>
  <si>
    <t>The Lunar Exploration Light Rover should have the following manoeuvring capabilities (in the horizontal plane)</t>
  </si>
  <si>
    <t>The Lunar Exploration Light Rover should have the capability to "Turn-in-place," allowing it to rotate about any point within or external to the chassis.</t>
  </si>
  <si>
    <t>["CSA-ESM-RD-0004Revision A\nMarch 4, 2010\n[EC-LMR-PRF-011] High Manoeuvrability Options: The Lunar Exploration Light Rover needs to have the following manoeuvring capabilities (in the horizontal plane).\nRationale: These capabilities are likely not required to implement the scenarios, however this is not clear. Situations exist where they would be useful: manoeuvring in a tight space between rocks to place a target within reach of an arm, or to place a drill close to an obstruction; manoeuvring up to a docking port; manoeuvring around a target while maintaining pointing towards the target. NASA's design solution, Chariot/Lunar Electric Rover, has these capabilities. The benefit of the capability to perform these tasks versus the extra cost of the system is not subject to a simple trade-off. By having these capabilities in the prototype, CSA can more easily evaluate them, but this is not critical to the success of the prototyping project.\n1. Turn-in-place: The Lunar Exploration Light Rover should be able to rotate about any point within or external to the chassis."]</t>
  </si>
  <si>
    <t>[{'source': 'SRS_LunarRover.pdf', 'page': 11}]</t>
  </si>
  <si>
    <t>What is the approach to understanding the application domain?</t>
  </si>
  <si>
    <t>modelling</t>
  </si>
  <si>
    <t>The approach to understanding the application domain involves analyzing the current situation as part of a six-step process for specifying detailed requirements for evidence management of the OPENCOSS platform. This process includes: (1) analyzing the current situation, (2) determining product-level requirements, (3) determining feature-level requirements, (4) determining function-level requirements, (5) determining component-level requirements, and (6) determining the impact of the system on the current situation. The process is iterative, allowing for the discovery of new needs and insights about the application domain and its current state. It is based on adapting and extending two research works: the business process-based RE approach and RAM, which address requirements at different abstraction levels and ensure the system aligns with the business processes of the organization.</t>
  </si>
  <si>
    <t>['Detailed requirements for evidence management of the OPENCOSS platform\nAppendix B. Overall Approach for Requirements Specification\nThis appendix presents an overview of the approach followed for specification of detailed requirements for evidence management of the OPENCOSS platform.\nAs shown in Figure 10, the overall approach consists of 6 steps: (1) analyse the current situation; (2) determine product level requirements; (3) determine feature level requirements; (4) determine function level requirements; (5) determine component level requirements, and; (6) determine the impact of the system on the current situation. This process will very likely be iterative, as new needs are discovered and new insights are gained regarding, for instance, the application domain and its current situation.\nThe approach proposed is mainly based on two existing research works that have also been applied in industry: the business process-based RE approach proposed in [5], and RAM [6], an approach for dealing with requirements at different abstraction levels. The approach proposed for specification of detailed requirements for evidence management of the OPENCOSS platform adapts and extends both works according to the specific needs of OPENCOSS.\nThe business process-based RE approach aims to specify system requirements of an IS so that the system supports and fits the business processes of the organization in which the IS will be introduced. Two of the problems identified in practice that led to the design of the approach were (1) the lack of knowledge about the application by system analysts, and consequently (2) the difficulties to meet the actual needs of an organization when developing an IS.', 'REMINDER: please answer the questions in relation to the application domain selected previously.\nSafety evidence can be divided into process information (i.e., about the process followed to develop a critical system) and product information (i.e., about the characteristics of the system).\nBelow, two figures show and classify different types of information (and artefacts) that might be used as process-based evidence and product-based evidence, respectively, for demonstrating compliance with safety standards.\nOn this page you will be asked about the information provided, checked, or requested as evidence.\nMore specifically, you will be asked about the leaf nodes of the classifications.\nPlease note that SOME TYPES OF INFORMATION CAN BE REFERRED TO DIFFERENTLY in the application domain that you selected.\nYou are kindly asked to read the definitions provided for each item carefully before deciding whether it applies to your domain or not.']</t>
  </si>
  <si>
    <t>[{'source': 'SRS_OPENCOSS.pdf', 'page': 62}, {'source': 'SRS_OPENCOSS.pdf', 'page': 79}]</t>
  </si>
  <si>
    <t>how to re-acquire sun pointing of the solar arrays?</t>
  </si>
  <si>
    <t>Following manoeuvre from SSP ejection orbit to safe orbit, spacecraft shall autonomously re-acquire sun pointing of the solar arrays.</t>
  </si>
  <si>
    <t>Following the maneuver from the SSP ejection orbit to a safe orbit, the spacecraft is designed to autonomously re-acquire sun pointing of the solar arrays. This process involves the spacecraft's onboard systems detecting the sun's position and adjusting the orientation of the solar arrays to maximize sunlight exposure, ensuring optimal power generation.</t>
  </si>
  <si>
    <t>['AUTO-165\nFollowing manoeuvre from SSP ejection orbit to safe orbit, spacecraft shall autonomously re-acquire sun pointing of the solar arrays.']</t>
  </si>
  <si>
    <t>[{'source': 'SRS_RosettaSystem.pdf', 'page': 38}]</t>
  </si>
  <si>
    <t>What are the steps involved in the overall approach?</t>
  </si>
  <si>
    <t>(1) analyse the current situation; (2) determine product level requirements; (3) determine feature level requirements; (4) determine function level requirements; (5) determine component level requirements, and; (6) determine the impact of the system on the current situation</t>
  </si>
  <si>
    <t>The steps involved in the overall approach are:
1. Analyze the current situation.
2. Determine product-level requirements.
3. Determine feature-level requirements.
4. Determine function-level requirements.
5. Determine component-level requirements.
6. Determine the impact of the system on the current situation.</t>
  </si>
  <si>
    <t>['Detailed requirements for evidence management of the OPENCOSS platform\nAppendix B. Overall Approach for Requirements Specification\nAs shown in Figure 10, the overall approach consists of 6 steps: (1) analyse the current situation; (2) determine product level requirements; (3) determine feature level requirements; (4) determine function level requirements; (5) determine component level requirements, and; (6) determine the impact of the system on the current situation.', 'Detailed requirements for evidence management of the OPENCOSS platform\n3\nRequirements for Evidence Management\nThe overall approach followed in WP6 for requirements discovery and specification is presented in Appendix B. The approach is mainly based on the modelling of business process for understanding and analysing the application domain, goal modelling for determination and analysis of stakeholders’ needs (product level requirements) and system features (feature level requirements), use case specification (function level requirements), and the specification of detailed requirements (referred to as component level requirements) by means of textual statements and user interface mock-ups.']</t>
  </si>
  <si>
    <t>[{'source': 'SRS_OPENCOSS.pdf', 'page': 62}, {'source': 'SRS_OPENCOSS.pdf', 'page': 18}]</t>
  </si>
  <si>
    <t xml:space="preserve">What does the 11 degree difference between shearing angle and the actual slope climbing angle provide? </t>
  </si>
  <si>
    <t>some soil strength margin to actually support the vehicle</t>
  </si>
  <si>
    <t>The 11-degree difference between the shearing angle and the actual slope climbing angle provides a soil strength margin to support the vehicle effectively.</t>
  </si>
  <si>
    <t>['Rationale: This is on the high end of shearing angle for earth soils (lunar soils are stronger). The 11 degree difference between shearing angle and the actual slope climbing angle provides some soil strength margin to actually support the vehicle.']</t>
  </si>
  <si>
    <t>[{'source': 'SRS_LunarRover.pdf', 'page': 10}]</t>
  </si>
  <si>
    <t>what will the  Technical data  be subject to?</t>
  </si>
  <si>
    <t xml:space="preserve"> validation by DND and the Contractor.</t>
  </si>
  <si>
    <t>I don't know.</t>
  </si>
  <si>
    <t>['Technical data.  Recorded information, regardless of form or characteristics, of a scientific or technical nature.  It may, for example, document research, experimental, developmental or engineering work; or be useable or used to define a design or process or to acquire, support, maintain or operate materiel. Technical data does not include computer software or financial, administrative, cost and pricing, and management data, or other information incidental to contract administration.']</t>
  </si>
  <si>
    <t>[{'source': 'SRS_DataItemDescriptions.pdf', 'page': 9}]</t>
  </si>
  <si>
    <t xml:space="preserve"> what will the spacecraft pass close to on its long journey to the comet?</t>
  </si>
  <si>
    <t xml:space="preserve">On its long journey  to the comet,  the spacecraft will pass close to two asteroids, Otawara and Siwa. </t>
  </si>
  <si>
    <t>The spacecraft will pass close to two asteroids, Otawara and Siwa, on its long journey to the comet.</t>
  </si>
  <si>
    <t>['3. ROSETTA MISSION\nRosetta has been approved by the ESA Science Programme Committee in November 1993 as Planetary Cornerstone mission of ESA’s long-term programme Horizon 2000. It is defined as a mission to rendez-vous with the nucleus of comet Wirtanen. On its way to  the  comet  the  spacecraft  will have two close fly-bys of asteroids.', 'MISS-009\nThe spacecraft shall support  the Otawara (10.63 km/s fly-by  at a distance of 750 km and fly-by distance to asteroid Siwa of 1600 km.', 'Mission phase\nAsteroid Otawara Fly-by\nAsteroid Siwa Fly-by']</t>
  </si>
  <si>
    <t>[{'source': 'SRS_RosettaSystem.pdf', 'page': 8}, {'source': 'SRS_RosettaSystem.pdf', 'page': 27}, {'source': 'SRS_RosettaSystem.pdf', 'page': 20}]</t>
  </si>
  <si>
    <t>Answer_generation_time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</si>
</sst>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
  <sheetViews>
    <sheetView tabSelected="1" workbookViewId="0">
      <selection activeCell="A11" sqref="A11"/>
    </sheetView>
  </sheetViews>
  <sheetFormatPr baseColWidth="10" defaultColWidth="8.83203125" defaultRowHeight="15" x14ac:dyDescent="0.2"/>
  <cols>
    <col min="15" max="15" width="11.83203125" bestFit="1" customWidth="1"/>
  </cols>
  <sheetData>
    <row r="1" spans="1:12" x14ac:dyDescent="0.2">
      <c r="A1" s="1" t="s">
        <v>0</v>
      </c>
      <c r="B1" s="1" t="s">
        <v>1</v>
      </c>
      <c r="C1" s="1" t="s">
        <v>2</v>
      </c>
      <c r="D1" s="1" t="s">
        <v>3</v>
      </c>
      <c r="E1" s="1" t="s">
        <v>4</v>
      </c>
      <c r="F1" s="1" t="s">
        <v>5</v>
      </c>
      <c r="G1" s="1" t="s">
        <v>6</v>
      </c>
      <c r="H1" s="1" t="s">
        <v>7</v>
      </c>
      <c r="I1" s="1" t="s">
        <v>8</v>
      </c>
      <c r="J1" s="1" t="s">
        <v>9</v>
      </c>
      <c r="K1" s="1" t="s">
        <v>10</v>
      </c>
      <c r="L1" s="2" t="s">
        <v>86</v>
      </c>
    </row>
    <row r="2" spans="1:12" x14ac:dyDescent="0.2">
      <c r="A2" t="s">
        <v>11</v>
      </c>
      <c r="B2" t="s">
        <v>12</v>
      </c>
      <c r="C2" t="s">
        <v>13</v>
      </c>
      <c r="D2" t="s">
        <v>14</v>
      </c>
      <c r="E2" t="s">
        <v>15</v>
      </c>
      <c r="F2">
        <v>7.4627616405487061</v>
      </c>
      <c r="G2">
        <v>3.8037393093109131</v>
      </c>
      <c r="H2">
        <v>6.8330764770507812E-4</v>
      </c>
      <c r="I2">
        <v>7.030034065246582E-2</v>
      </c>
      <c r="J2">
        <v>1.4898548126220701</v>
      </c>
      <c r="K2">
        <v>0.64121508598327637</v>
      </c>
      <c r="L2">
        <f>F2-G2-H2-I2-J2-K2</f>
        <v>1.4569687843322754</v>
      </c>
    </row>
    <row r="3" spans="1:12" x14ac:dyDescent="0.2">
      <c r="A3" t="s">
        <v>16</v>
      </c>
      <c r="B3" t="s">
        <v>17</v>
      </c>
      <c r="C3" t="s">
        <v>18</v>
      </c>
      <c r="D3" t="s">
        <v>19</v>
      </c>
      <c r="E3" t="s">
        <v>20</v>
      </c>
      <c r="F3">
        <v>58.931865453720093</v>
      </c>
      <c r="G3">
        <v>1.4833130836486821</v>
      </c>
      <c r="H3">
        <v>3.252029418945312E-4</v>
      </c>
      <c r="I3">
        <v>5.5131673812866211E-2</v>
      </c>
      <c r="J3">
        <v>1.507867574691772</v>
      </c>
      <c r="K3">
        <v>54.836675643920898</v>
      </c>
      <c r="L3">
        <f t="shared" ref="L3:L16" si="0">F3-G3-H3-I3-J3-K3</f>
        <v>1.0485522747039795</v>
      </c>
    </row>
    <row r="4" spans="1:12" x14ac:dyDescent="0.2">
      <c r="A4" t="s">
        <v>21</v>
      </c>
      <c r="B4" t="s">
        <v>22</v>
      </c>
      <c r="C4" t="s">
        <v>23</v>
      </c>
      <c r="D4" t="s">
        <v>24</v>
      </c>
      <c r="E4" t="s">
        <v>25</v>
      </c>
      <c r="F4">
        <v>5.1553003787994376</v>
      </c>
      <c r="G4">
        <v>1.865081310272217</v>
      </c>
      <c r="H4">
        <v>3.147125244140625E-4</v>
      </c>
      <c r="I4">
        <v>5.5944442749023438E-2</v>
      </c>
      <c r="J4">
        <v>1.1143894195556641</v>
      </c>
      <c r="K4">
        <v>0.95567989349365234</v>
      </c>
      <c r="L4">
        <f t="shared" si="0"/>
        <v>1.1638906002044669</v>
      </c>
    </row>
    <row r="5" spans="1:12" x14ac:dyDescent="0.2">
      <c r="A5" t="s">
        <v>26</v>
      </c>
      <c r="B5" t="s">
        <v>27</v>
      </c>
      <c r="C5" t="s">
        <v>28</v>
      </c>
      <c r="D5" t="s">
        <v>29</v>
      </c>
      <c r="E5" t="s">
        <v>30</v>
      </c>
      <c r="F5">
        <v>56.073442220687873</v>
      </c>
      <c r="G5">
        <v>1.2301986217498779</v>
      </c>
      <c r="H5">
        <v>3.1208992004394531E-4</v>
      </c>
      <c r="I5">
        <v>5.4658174514770508E-2</v>
      </c>
      <c r="J5">
        <v>2.88945484161377</v>
      </c>
      <c r="K5">
        <v>50.786794900894172</v>
      </c>
      <c r="L5">
        <f t="shared" si="0"/>
        <v>1.1120235919952393</v>
      </c>
    </row>
    <row r="6" spans="1:12" x14ac:dyDescent="0.2">
      <c r="A6" t="s">
        <v>31</v>
      </c>
      <c r="B6" t="s">
        <v>32</v>
      </c>
      <c r="C6" t="s">
        <v>33</v>
      </c>
      <c r="D6" t="s">
        <v>34</v>
      </c>
      <c r="E6" t="s">
        <v>35</v>
      </c>
      <c r="F6">
        <v>60.433116674423218</v>
      </c>
      <c r="G6">
        <v>2.1694967746734619</v>
      </c>
      <c r="H6">
        <v>2.7155876159667969E-4</v>
      </c>
      <c r="I6">
        <v>5.4776191711425781E-2</v>
      </c>
      <c r="J6">
        <v>6.8537724018096924</v>
      </c>
      <c r="K6">
        <v>0.76608157157897949</v>
      </c>
      <c r="L6">
        <f t="shared" si="0"/>
        <v>50.588718175888062</v>
      </c>
    </row>
    <row r="7" spans="1:12" x14ac:dyDescent="0.2">
      <c r="A7" t="s">
        <v>36</v>
      </c>
      <c r="B7" t="s">
        <v>37</v>
      </c>
      <c r="C7" t="s">
        <v>38</v>
      </c>
      <c r="D7" t="s">
        <v>39</v>
      </c>
      <c r="E7" t="s">
        <v>40</v>
      </c>
      <c r="F7">
        <v>8.3269569873809814</v>
      </c>
      <c r="G7">
        <v>1.4166498184204099</v>
      </c>
      <c r="H7">
        <v>3.299713134765625E-4</v>
      </c>
      <c r="I7">
        <v>5.5577278137207031E-2</v>
      </c>
      <c r="J7">
        <v>3.2092397212982182</v>
      </c>
      <c r="K7">
        <v>1.009851455688477</v>
      </c>
      <c r="L7">
        <f t="shared" si="0"/>
        <v>2.6353087425231925</v>
      </c>
    </row>
    <row r="8" spans="1:12" x14ac:dyDescent="0.2">
      <c r="A8" t="s">
        <v>41</v>
      </c>
      <c r="B8" t="s">
        <v>42</v>
      </c>
      <c r="C8" t="s">
        <v>43</v>
      </c>
      <c r="D8" t="s">
        <v>44</v>
      </c>
      <c r="E8" t="s">
        <v>45</v>
      </c>
      <c r="F8">
        <v>57.773674964904792</v>
      </c>
      <c r="G8">
        <v>1.6581211090087891</v>
      </c>
      <c r="H8">
        <v>3.2591819763183588E-4</v>
      </c>
      <c r="I8">
        <v>5.5572748184204102E-2</v>
      </c>
      <c r="J8">
        <v>52.015825986862183</v>
      </c>
      <c r="K8">
        <v>2.8494212627410889</v>
      </c>
      <c r="L8">
        <f t="shared" si="0"/>
        <v>1.1944079399108958</v>
      </c>
    </row>
    <row r="9" spans="1:12" x14ac:dyDescent="0.2">
      <c r="A9" t="s">
        <v>46</v>
      </c>
      <c r="B9" t="s">
        <v>47</v>
      </c>
      <c r="C9" t="s">
        <v>48</v>
      </c>
      <c r="D9" t="s">
        <v>49</v>
      </c>
      <c r="E9" t="s">
        <v>50</v>
      </c>
      <c r="F9">
        <v>5.894331693649292</v>
      </c>
      <c r="G9">
        <v>1.5267119407653811</v>
      </c>
      <c r="H9">
        <v>3.1065940856933588E-4</v>
      </c>
      <c r="I9">
        <v>5.5219650268554688E-2</v>
      </c>
      <c r="J9">
        <v>1.2751839160919189</v>
      </c>
      <c r="K9">
        <v>1.5152649879455571</v>
      </c>
      <c r="L9">
        <f t="shared" si="0"/>
        <v>1.5216405391693111</v>
      </c>
    </row>
    <row r="10" spans="1:12" x14ac:dyDescent="0.2">
      <c r="A10" t="s">
        <v>51</v>
      </c>
      <c r="B10" t="s">
        <v>52</v>
      </c>
      <c r="C10" t="s">
        <v>53</v>
      </c>
      <c r="D10" t="s">
        <v>54</v>
      </c>
      <c r="E10" t="s">
        <v>55</v>
      </c>
      <c r="F10">
        <v>56.905603647232063</v>
      </c>
      <c r="G10">
        <v>1.248290538787842</v>
      </c>
      <c r="H10">
        <v>3.2377243041992188E-4</v>
      </c>
      <c r="I10">
        <v>5.5008411407470703E-2</v>
      </c>
      <c r="J10">
        <v>51.856531143188477</v>
      </c>
      <c r="K10">
        <v>1.6013748645782471</v>
      </c>
      <c r="L10">
        <f t="shared" si="0"/>
        <v>2.1440749168396067</v>
      </c>
    </row>
    <row r="11" spans="1:12" x14ac:dyDescent="0.2">
      <c r="A11" t="s">
        <v>56</v>
      </c>
      <c r="B11" t="s">
        <v>57</v>
      </c>
      <c r="C11" t="s">
        <v>58</v>
      </c>
      <c r="D11" t="s">
        <v>59</v>
      </c>
      <c r="E11" t="s">
        <v>60</v>
      </c>
      <c r="F11">
        <v>58.1836256980896</v>
      </c>
      <c r="G11">
        <v>1.3117272853851321</v>
      </c>
      <c r="H11">
        <v>2.8181076049804688E-4</v>
      </c>
      <c r="I11">
        <v>5.4693460464477539E-2</v>
      </c>
      <c r="J11">
        <v>52.967092514038093</v>
      </c>
      <c r="K11">
        <v>0.91458892822265625</v>
      </c>
      <c r="L11">
        <f t="shared" si="0"/>
        <v>2.9352416992187429</v>
      </c>
    </row>
    <row r="12" spans="1:12" x14ac:dyDescent="0.2">
      <c r="A12" t="s">
        <v>61</v>
      </c>
      <c r="B12" t="s">
        <v>62</v>
      </c>
      <c r="C12" t="s">
        <v>63</v>
      </c>
      <c r="D12" t="s">
        <v>64</v>
      </c>
      <c r="E12" t="s">
        <v>65</v>
      </c>
      <c r="F12">
        <v>5.5836520195007324</v>
      </c>
      <c r="G12">
        <v>1.4989228248596189</v>
      </c>
      <c r="H12">
        <v>2.8371810913085938E-4</v>
      </c>
      <c r="I12">
        <v>5.5400371551513672E-2</v>
      </c>
      <c r="J12">
        <v>1.749209880828857</v>
      </c>
      <c r="K12">
        <v>0.52110171318054199</v>
      </c>
      <c r="L12">
        <f t="shared" si="0"/>
        <v>1.7587335109710698</v>
      </c>
    </row>
    <row r="13" spans="1:12" x14ac:dyDescent="0.2">
      <c r="A13" t="s">
        <v>66</v>
      </c>
      <c r="B13" t="s">
        <v>67</v>
      </c>
      <c r="C13" t="s">
        <v>68</v>
      </c>
      <c r="D13" t="s">
        <v>69</v>
      </c>
      <c r="E13" t="s">
        <v>70</v>
      </c>
      <c r="F13">
        <v>57.325648546218872</v>
      </c>
      <c r="G13">
        <v>1.7486486434936519</v>
      </c>
      <c r="H13">
        <v>2.7227401733398438E-4</v>
      </c>
      <c r="I13">
        <v>5.5183887481689453E-2</v>
      </c>
      <c r="J13">
        <v>51.014401435852051</v>
      </c>
      <c r="K13">
        <v>0.63958191871643066</v>
      </c>
      <c r="L13">
        <f t="shared" si="0"/>
        <v>3.8675603866577148</v>
      </c>
    </row>
    <row r="14" spans="1:12" x14ac:dyDescent="0.2">
      <c r="A14" t="s">
        <v>71</v>
      </c>
      <c r="B14" t="s">
        <v>72</v>
      </c>
      <c r="C14" t="s">
        <v>73</v>
      </c>
      <c r="D14" t="s">
        <v>74</v>
      </c>
      <c r="E14" t="s">
        <v>75</v>
      </c>
      <c r="F14">
        <v>57.125447750091553</v>
      </c>
      <c r="G14">
        <v>1.8767538070678711</v>
      </c>
      <c r="H14">
        <v>2.8944015502929688E-4</v>
      </c>
      <c r="I14">
        <v>5.6080818176269531E-2</v>
      </c>
      <c r="J14">
        <v>4.9966604709625244</v>
      </c>
      <c r="K14">
        <v>47.747663974761963</v>
      </c>
      <c r="L14">
        <f t="shared" si="0"/>
        <v>2.4479992389678955</v>
      </c>
    </row>
    <row r="15" spans="1:12" x14ac:dyDescent="0.2">
      <c r="A15" t="s">
        <v>76</v>
      </c>
      <c r="B15" t="s">
        <v>77</v>
      </c>
      <c r="C15" t="s">
        <v>78</v>
      </c>
      <c r="D15" t="s">
        <v>79</v>
      </c>
      <c r="E15" t="s">
        <v>80</v>
      </c>
      <c r="F15">
        <v>9.5388495922088623</v>
      </c>
      <c r="G15">
        <v>1.296538114547729</v>
      </c>
      <c r="H15">
        <v>3.3140182495117188E-4</v>
      </c>
      <c r="I15">
        <v>5.6200027465820312E-2</v>
      </c>
      <c r="J15">
        <v>4.6564545631408691</v>
      </c>
      <c r="K15">
        <v>0.52644634246826172</v>
      </c>
      <c r="L15">
        <f t="shared" si="0"/>
        <v>3.0028791427612305</v>
      </c>
    </row>
    <row r="16" spans="1:12" x14ac:dyDescent="0.2">
      <c r="A16" t="s">
        <v>81</v>
      </c>
      <c r="B16" t="s">
        <v>82</v>
      </c>
      <c r="C16" t="s">
        <v>83</v>
      </c>
      <c r="D16" t="s">
        <v>84</v>
      </c>
      <c r="E16" t="s">
        <v>85</v>
      </c>
      <c r="F16">
        <v>58.821266412734992</v>
      </c>
      <c r="G16">
        <v>1.254363536834717</v>
      </c>
      <c r="H16">
        <v>3.2019615173339838E-4</v>
      </c>
      <c r="I16">
        <v>5.5780410766601562E-2</v>
      </c>
      <c r="J16">
        <v>55.08814525604248</v>
      </c>
      <c r="K16">
        <v>1.1100907325744629</v>
      </c>
      <c r="L16">
        <f t="shared" si="0"/>
        <v>1.3125662803649973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Parham Khamsepour</cp:lastModifiedBy>
  <dcterms:created xsi:type="dcterms:W3CDTF">2025-03-26T01:28:42Z</dcterms:created>
  <dcterms:modified xsi:type="dcterms:W3CDTF">2025-09-26T17:44:35Z</dcterms:modified>
</cp:coreProperties>
</file>